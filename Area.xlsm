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C5" i="1"/>
  <c r="C6" i="1"/>
  <c r="C7" i="1"/>
  <c r="C8" i="1"/>
  <c r="C9" i="1"/>
  <c r="C10" i="1"/>
  <c r="C11" i="1"/>
  <c r="D11" i="1" s="1"/>
  <c r="B5" i="1"/>
  <c r="B6" i="1"/>
  <c r="B7" i="1"/>
  <c r="B8" i="1"/>
  <c r="B9" i="1"/>
  <c r="B10" i="1"/>
  <c r="B11" i="1"/>
  <c r="B4" i="1"/>
  <c r="C4" i="1" s="1"/>
  <c r="D4" i="1" s="1"/>
  <c r="B3" i="1"/>
  <c r="C3" i="1" s="1"/>
  <c r="D3" i="1" s="1"/>
  <c r="B2" i="1" l="1"/>
  <c r="C2" i="1" s="1"/>
  <c r="D2" i="1" s="1"/>
</calcChain>
</file>

<file path=xl/sharedStrings.xml><?xml version="1.0" encoding="utf-8"?>
<sst xmlns="http://schemas.openxmlformats.org/spreadsheetml/2006/main" count="35" uniqueCount="35">
  <si>
    <t>Area Code</t>
  </si>
  <si>
    <t>Support Text</t>
  </si>
  <si>
    <t>Final Code</t>
  </si>
  <si>
    <t>নাম</t>
  </si>
  <si>
    <t>পরিমাণ</t>
  </si>
  <si>
    <t>মালিকানা</t>
  </si>
  <si>
    <t>বিস্তারিত</t>
  </si>
  <si>
    <t>দাগ নং</t>
  </si>
  <si>
    <t xml:space="preserve"> &lt;area target="" alt="471" title="471" href="" coords="1028,722,1170,690,1150,523,1123,489,1116,536,1034,544,1028,601,1026,687" shape="poly"&gt;</t>
  </si>
  <si>
    <t>বড় পুকুর</t>
  </si>
  <si>
    <t>সরকারী</t>
  </si>
  <si>
    <t>&lt;area target="" alt="425" title="425" href="" coords="1329,734,1368,732,1371,720,1419,718,1411,603,1358,606,1358,645,1337,653,1322,665" shape="poly"&gt;</t>
  </si>
  <si>
    <t>পূর্ব পাথারের আধ কানি</t>
  </si>
  <si>
    <t>৫৯ শতক</t>
  </si>
  <si>
    <t>স্বপন কাকা</t>
  </si>
  <si>
    <t>জাকির কাকা</t>
  </si>
  <si>
    <t>বিলাল কাকা</t>
  </si>
  <si>
    <t>আম্মা</t>
  </si>
  <si>
    <t>সজীব</t>
  </si>
  <si>
    <t>সৈকত</t>
  </si>
  <si>
    <t>সাকিব</t>
  </si>
  <si>
    <t>&lt;table&gt;&lt;tr&gt;&lt;td&gt;সজীব&lt;/td&gt;&lt;td&gt;সৈকত&lt;/td&gt;&lt;td&gt;সাকিব&lt;/td&gt;&lt;td&gt;স্বপন কাকা&lt;/td&gt;&lt;td&gt;জাকির কাকা&lt;/td&gt;&lt;td&gt;বিলাল কাকা&lt;/td&gt;&lt;/tr&gt;&lt;tr&gt;&lt;td&gt;7&lt;/td&gt;&lt;td&gt;7&lt;/td&gt;&lt;td&gt;&lt;/td&gt;&lt;td&gt;১৫&lt;/td&gt;&lt;td&gt;১৫&lt;/td&gt;&lt;td&gt;১৫&lt;/td&gt;&lt;/tr&gt;&lt;/table&gt;</t>
  </si>
  <si>
    <t>কবরস্থান</t>
  </si>
  <si>
    <t xml:space="preserve"> &lt;area target="" alt="470" title="470" href="" coords="1138,447,1177,444,1208,593,1208,697,1193,713,1175,687" shape="poly"&gt;</t>
  </si>
  <si>
    <t xml:space="preserve">    &lt;area target="" alt="400" title="400" href="" coords="1232,422,1178,442,1200,533,1255,528,1239,449" shape="poly"&gt;</t>
  </si>
  <si>
    <t xml:space="preserve">    &lt;area target="" alt="401" title="401" href="" coords="1285,400,1311,511,1260,529,1237,424" shape="poly"&gt;</t>
  </si>
  <si>
    <t xml:space="preserve">    &lt;area target="" alt="402" title="402" href="" coords="1336,385,1352,492,1314,509,1289,405" shape="poly"&gt;</t>
  </si>
  <si>
    <t xml:space="preserve">    &lt;area target="" alt="403" title="403" href="" coords="1358,492,1406,482,1396,424,1347,435" shape="poly"&gt;</t>
  </si>
  <si>
    <t xml:space="preserve">    &lt;area target="" alt="404" title="404" href="" coords="1337,382,1396,362,1408,420,1347,435" shape="poly"&gt;</t>
  </si>
  <si>
    <t xml:space="preserve">    &lt;area target="" alt="405" title="405" href="" coords="1446,338,1466,427,1399,439,1398,422,1411,422,1399,358" shape="poly"&gt;</t>
  </si>
  <si>
    <t xml:space="preserve">    &lt;area target="" alt="406" title="406" href="" coords="1406,479,1473,469,1463,432,1401,440" shape="poly"&gt;</t>
  </si>
  <si>
    <t>&lt;table&gt;&lt;tr&gt;&lt;td&gt;সজীব&lt;/td&gt;&lt;td&gt;সৈকত&lt;/td&gt;&lt;td&gt;সাকিব&lt;/td&gt;&lt;td&gt;স্বপন কাকা&lt;/td&gt;&lt;/tr&gt;&lt;tr&gt;&lt;td&gt;৪&lt;/td&gt;&lt;td&gt;৪&lt;/td&gt;&lt;td&gt;3.5 শতক&lt;/td&gt;&lt;td&gt;7.5 শতক&lt;/td&gt;&lt;/tr&gt;&lt;/table&gt;</t>
  </si>
  <si>
    <t>পোলের দক্ষিনে</t>
  </si>
  <si>
    <t>২১ শতক</t>
  </si>
  <si>
    <t>২ শতক বাদ দিয়ে ১৯ শতক ধরা হয়েছে। এর পাশে সাকিবের নামে আরও ৫শতক জায়গা আছে।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</si>
</sst>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5000445]0"/>
    <numFmt numFmtId="169" formatCode="#.0\ \শ\ত\ক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SutonnyMJ"/>
    </font>
    <font>
      <b/>
      <sz val="14"/>
      <color theme="1"/>
      <name val="SutonnyMJ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Alignment="1"/>
    <xf numFmtId="0" fontId="0" fillId="0" borderId="0" xfId="0" applyAlignment="1">
      <alignment vertical="top"/>
    </xf>
    <xf numFmtId="169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1"/>
  <sheetViews>
    <sheetView tabSelected="1" zoomScaleNormal="100" workbookViewId="0">
      <selection activeCell="D11" sqref="D5:D11"/>
    </sheetView>
  </sheetViews>
  <sheetFormatPr defaultRowHeight="15" x14ac:dyDescent="0.25"/>
  <cols>
    <col min="1" max="1" width="28.85546875" customWidth="1"/>
    <col min="3" max="3" width="19" customWidth="1"/>
    <col min="4" max="4" width="78" style="5" customWidth="1"/>
    <col min="5" max="5" width="15.28515625" customWidth="1"/>
    <col min="6" max="6" width="9.5703125" customWidth="1"/>
    <col min="7" max="7" width="10.5703125" customWidth="1"/>
    <col min="8" max="8" width="16.42578125" bestFit="1" customWidth="1"/>
    <col min="13" max="13" width="12.7109375" bestFit="1" customWidth="1"/>
    <col min="14" max="14" width="11.85546875" bestFit="1" customWidth="1"/>
  </cols>
  <sheetData>
    <row r="1" spans="1:16" x14ac:dyDescent="0.25">
      <c r="A1" t="s">
        <v>0</v>
      </c>
      <c r="B1" t="s">
        <v>7</v>
      </c>
      <c r="C1" t="s">
        <v>1</v>
      </c>
      <c r="D1" s="5" t="s">
        <v>2</v>
      </c>
      <c r="E1" t="s">
        <v>3</v>
      </c>
      <c r="F1" t="s">
        <v>4</v>
      </c>
      <c r="G1" t="s">
        <v>5</v>
      </c>
      <c r="H1" t="s">
        <v>6</v>
      </c>
    </row>
    <row r="2" spans="1:16" x14ac:dyDescent="0.25">
      <c r="A2" s="1" t="s">
        <v>8</v>
      </c>
      <c r="B2" s="1" t="str">
        <f>MID(A2,SEARCH("alt",A2,1)+5,3)</f>
        <v>471</v>
      </c>
      <c r="C2" s="1" t="str">
        <f>CONCATENATE(E2&amp; "&lt;br&gt;",F$1 &amp; ": " &amp;F2&amp; "&lt;br&gt;",G$1 &amp; ": " &amp;G2&amp; "&lt;br&gt;",H$1 &amp; ": " &amp;H2&amp; "&lt;br&gt;",B$1 &amp; ": " &amp;B2&amp; "&lt;br&gt;")</f>
        <v>বড় পুকুর&lt;br&gt;পরিমাণ: &lt;br&gt;মালিকানা: সরকারী&lt;br&gt;বিস্তারিত: &lt;br&gt;দাগ নং: 471&lt;br&gt;</v>
      </c>
      <c r="D2" s="6" t="str">
        <f>SUBSTITUTE(A2,"shape=",CONCATENATE("onmouseover=""writeText(' ",C2,"')"" ","shape="))</f>
        <v xml:space="preserve"> &lt;area target="" alt="471" title="471" href="" coords="1028,722,1170,690,1150,523,1123,489,1116,536,1034,544,1028,601,1026,687" onmouseover="writeText(' বড় পুকুর&lt;br&gt;পরিমাণ: &lt;br&gt;মালিকানা: সরকারী&lt;br&gt;বিস্তারিত: &lt;br&gt;দাগ নং: 471&lt;br&gt;')" shape="poly"&gt;</v>
      </c>
      <c r="E2" t="s">
        <v>9</v>
      </c>
      <c r="G2" t="s">
        <v>10</v>
      </c>
    </row>
    <row r="3" spans="1:16" ht="54" x14ac:dyDescent="0.25">
      <c r="A3" t="s">
        <v>11</v>
      </c>
      <c r="B3" s="1" t="str">
        <f>MID(A3,SEARCH("alt",A3,1)+5,3)</f>
        <v>425</v>
      </c>
      <c r="C3" s="1" t="str">
        <f>CONCATENATE(E3&amp; "&lt;br&gt;",F$1 &amp; ": " &amp;F3&amp; "&lt;br&gt;",G$1 &amp; ": " &amp;G3&amp; "&lt;br&gt;",H$1 &amp; ": " &amp;H3&amp; "&lt;br&gt;",B$1 &amp; ": " &amp;B3&amp; "&lt;br&gt;")</f>
        <v>পূর্ব পাথারের আধ কানি&lt;br&gt;পরিমাণ: ৫৯ শতক&lt;br&gt;মালিকানা: &lt;table&gt;&lt;tr&gt;&lt;td&gt;সজীব&lt;/td&gt;&lt;td&gt;সৈকত&lt;/td&gt;&lt;td&gt;সাকিব&lt;/td&gt;&lt;td&gt;স্বপন কাকা&lt;/td&gt;&lt;td&gt;জাকির কাকা&lt;/td&gt;&lt;td&gt;বিলাল কাকা&lt;/td&gt;&lt;/tr&gt;&lt;tr&gt;&lt;td&gt;7&lt;/td&gt;&lt;td&gt;7&lt;/td&gt;&lt;td&gt;&lt;/td&gt;&lt;td&gt;১৫&lt;/td&gt;&lt;td&gt;১৫&lt;/td&gt;&lt;td&gt;১৫&lt;/td&gt;&lt;/tr&gt;&lt;/table&gt;&lt;br&gt;বিস্তারিত: &lt;br&gt;দাগ নং: 425&lt;br&gt;</v>
      </c>
      <c r="D3" s="6" t="str">
        <f>SUBSTITUTE(A3,"shape=",CONCATENATE("onmouseover=""writeText(' ",C3,"')"" ","shape="))</f>
        <v>&lt;area target="" alt="425" title="425" href="" coords="1329,734,1368,732,1371,720,1419,718,1411,603,1358,606,1358,645,1337,653,1322,665" onmouseover="writeText(' পূর্ব পাথারের আধ কানি&lt;br&gt;পরিমাণ: ৫৯ শতক&lt;br&gt;মালিকানা: &lt;table&gt;&lt;tr&gt;&lt;td&gt;সজীব&lt;/td&gt;&lt;td&gt;সৈকত&lt;/td&gt;&lt;td&gt;সাকিব&lt;/td&gt;&lt;td&gt;স্বপন কাকা&lt;/td&gt;&lt;td&gt;জাকির কাকা&lt;/td&gt;&lt;td&gt;বিলাল কাকা&lt;/td&gt;&lt;/tr&gt;&lt;tr&gt;&lt;td&gt;7&lt;/td&gt;&lt;td&gt;7&lt;/td&gt;&lt;td&gt;&lt;/td&gt;&lt;td&gt;১৫&lt;/td&gt;&lt;td&gt;১৫&lt;/td&gt;&lt;td&gt;১৫&lt;/td&gt;&lt;/tr&gt;&lt;/table&gt;&lt;br&gt;বিস্তারিত: &lt;br&gt;দাগ নং: 425&lt;br&gt;')" shape="poly"&gt;</v>
      </c>
      <c r="E3" t="s">
        <v>12</v>
      </c>
      <c r="F3" t="s">
        <v>13</v>
      </c>
      <c r="G3" t="s">
        <v>21</v>
      </c>
      <c r="J3" s="3" t="s">
        <v>17</v>
      </c>
      <c r="K3" s="3" t="s">
        <v>18</v>
      </c>
      <c r="L3" s="3" t="s">
        <v>19</v>
      </c>
      <c r="M3" s="3" t="s">
        <v>20</v>
      </c>
      <c r="N3" s="2" t="s">
        <v>14</v>
      </c>
      <c r="O3" s="2" t="s">
        <v>15</v>
      </c>
      <c r="P3" s="2" t="s">
        <v>16</v>
      </c>
    </row>
    <row r="4" spans="1:16" ht="18" x14ac:dyDescent="0.25">
      <c r="A4" t="s">
        <v>23</v>
      </c>
      <c r="B4" s="1" t="str">
        <f>MID(A4,SEARCH("alt",A4,1)+5,3)</f>
        <v>470</v>
      </c>
      <c r="C4" s="1" t="str">
        <f>CONCATENATE(E4&amp; "&lt;br&gt;",F$1 &amp; ": " &amp;F4&amp; "&lt;br&gt;",G$1 &amp; ": " &amp;G4&amp; "&lt;br&gt;",H$1 &amp; ": " &amp;H4&amp; "&lt;br&gt;",B$1 &amp; ": " &amp;B4&amp; "&lt;br&gt;")</f>
        <v>কবরস্থান&lt;br&gt;পরিমাণ: &lt;br&gt;মালিকানা: &lt;br&gt;বিস্তারিত: &lt;br&gt;দাগ নং: 470&lt;br&gt;</v>
      </c>
      <c r="D4" s="6" t="str">
        <f>SUBSTITUTE(A4,"shape=",CONCATENATE("onmouseover=""writeText(' ",C4,"')"" ","shape="))</f>
        <v xml:space="preserve"> &lt;area target="" alt="470" title="470" href="" coords="1138,447,1177,444,1208,593,1208,697,1193,713,1175,687" onmouseover="writeText(' কবরস্থান&lt;br&gt;পরিমাণ: &lt;br&gt;মালিকানা: &lt;br&gt;বিস্তারিত: &lt;br&gt;দাগ নং: 470&lt;br&gt;')" shape="poly"&gt;</v>
      </c>
      <c r="E4" t="s">
        <v>22</v>
      </c>
      <c r="K4" s="8">
        <v>4</v>
      </c>
      <c r="L4" s="8">
        <v>4</v>
      </c>
      <c r="M4" s="7">
        <v>3.5</v>
      </c>
      <c r="N4" s="7">
        <v>7.5</v>
      </c>
      <c r="O4" s="4">
        <v>15</v>
      </c>
      <c r="P4" s="4">
        <v>15</v>
      </c>
    </row>
    <row r="5" spans="1:16" x14ac:dyDescent="0.25">
      <c r="A5" t="s">
        <v>24</v>
      </c>
      <c r="B5" s="1" t="str">
        <f t="shared" ref="B5:B11" si="0">MID(A5,SEARCH("alt",A5,1)+5,3)</f>
        <v>400</v>
      </c>
      <c r="C5" s="1" t="str">
        <f t="shared" ref="C5:C11" si="1">CONCATENATE(E5&amp; "&lt;br&gt;",F$1 &amp; ": " &amp;F5&amp; "&lt;br&gt;",G$1 &amp; ": " &amp;G5&amp; "&lt;br&gt;",H$1 &amp; ": " &amp;H5&amp; "&lt;br&gt;",B$1 &amp; ": " &amp;B5&amp; "&lt;br&gt;")</f>
        <v>&lt;br&gt;পরিমাণ: &lt;br&gt;মালিকানা: &lt;br&gt;বিস্তারিত: &lt;br&gt;দাগ নং: 400&lt;br&gt;</v>
      </c>
      <c r="D5" s="6" t="str">
        <f t="shared" ref="D5:D11" si="2">SUBSTITUTE(A5,"shape=",CONCATENATE("onmouseover=""writeText(' ",C5,"')"" ","shape="))</f>
        <v xml:space="preserve">    &lt;area target="" alt="400" title="400" href="" coords="1232,422,1178,442,1200,533,1255,528,1239,449" onmouseover="writeText(' &lt;br&gt;পরিমাণ: &lt;br&gt;মালিকানা: &lt;br&gt;বিস্তারিত: &lt;br&gt;দাগ নং: 400&lt;br&gt;')" shape="poly"&gt;</v>
      </c>
    </row>
    <row r="6" spans="1:16" x14ac:dyDescent="0.25">
      <c r="A6" t="s">
        <v>25</v>
      </c>
      <c r="B6" s="1" t="str">
        <f t="shared" si="0"/>
        <v>401</v>
      </c>
      <c r="C6" s="1" t="str">
        <f t="shared" si="1"/>
        <v>&lt;br&gt;পরিমাণ: &lt;br&gt;মালিকানা: &lt;br&gt;বিস্তারিত: &lt;br&gt;দাগ নং: 401&lt;br&gt;</v>
      </c>
      <c r="D6" s="6" t="str">
        <f t="shared" si="2"/>
        <v xml:space="preserve">    &lt;area target="" alt="401" title="401" href="" coords="1285,400,1311,511,1260,529,1237,424" onmouseover="writeText(' &lt;br&gt;পরিমাণ: &lt;br&gt;মালিকানা: &lt;br&gt;বিস্তারিত: &lt;br&gt;দাগ নং: 401&lt;br&gt;')" shape="poly"&gt;</v>
      </c>
    </row>
    <row r="7" spans="1:16" x14ac:dyDescent="0.25">
      <c r="A7" t="s">
        <v>26</v>
      </c>
      <c r="B7" s="1" t="str">
        <f t="shared" si="0"/>
        <v>402</v>
      </c>
      <c r="C7" s="1" t="str">
        <f t="shared" si="1"/>
        <v>&lt;br&gt;পরিমাণ: &lt;br&gt;মালিকানা: &lt;br&gt;বিস্তারিত: &lt;br&gt;দাগ নং: 402&lt;br&gt;</v>
      </c>
      <c r="D7" s="6" t="str">
        <f t="shared" si="2"/>
        <v xml:space="preserve">    &lt;area target="" alt="402" title="402" href="" coords="1336,385,1352,492,1314,509,1289,405" onmouseover="writeText(' &lt;br&gt;পরিমাণ: &lt;br&gt;মালিকানা: &lt;br&gt;বিস্তারিত: &lt;br&gt;দাগ নং: 402&lt;br&gt;')" shape="poly"&gt;</v>
      </c>
    </row>
    <row r="8" spans="1:16" x14ac:dyDescent="0.25">
      <c r="A8" t="s">
        <v>27</v>
      </c>
      <c r="B8" s="1" t="str">
        <f t="shared" si="0"/>
        <v>403</v>
      </c>
      <c r="C8" s="1" t="str">
        <f t="shared" si="1"/>
        <v>&lt;br&gt;পরিমাণ: &lt;br&gt;মালিকানা: &lt;br&gt;বিস্তারিত: &lt;br&gt;দাগ নং: 403&lt;br&gt;</v>
      </c>
      <c r="D8" s="6" t="str">
        <f t="shared" si="2"/>
        <v xml:space="preserve">    &lt;area target="" alt="403" title="403" href="" coords="1358,492,1406,482,1396,424,1347,435" onmouseover="writeText(' &lt;br&gt;পরিমাণ: &lt;br&gt;মালিকানা: &lt;br&gt;বিস্তারিত: &lt;br&gt;দাগ নং: 403&lt;br&gt;')" shape="poly"&gt;</v>
      </c>
    </row>
    <row r="9" spans="1:16" x14ac:dyDescent="0.25">
      <c r="A9" t="s">
        <v>28</v>
      </c>
      <c r="B9" s="1" t="str">
        <f t="shared" si="0"/>
        <v>404</v>
      </c>
      <c r="C9" s="1" t="str">
        <f t="shared" si="1"/>
        <v>&lt;br&gt;পরিমাণ: &lt;br&gt;মালিকানা: &lt;br&gt;বিস্তারিত: &lt;br&gt;দাগ নং: 404&lt;br&gt;</v>
      </c>
      <c r="D9" s="6" t="str">
        <f t="shared" si="2"/>
        <v xml:space="preserve">    &lt;area target="" alt="404" title="404" href="" coords="1337,382,1396,362,1408,420,1347,435" onmouseover="writeText(' &lt;br&gt;পরিমাণ: &lt;br&gt;মালিকানা: &lt;br&gt;বিস্তারিত: &lt;br&gt;দাগ নং: 404&lt;br&gt;')" shape="poly"&gt;</v>
      </c>
    </row>
    <row r="10" spans="1:16" x14ac:dyDescent="0.25">
      <c r="A10" t="s">
        <v>29</v>
      </c>
      <c r="B10" s="1" t="str">
        <f t="shared" si="0"/>
        <v>405</v>
      </c>
      <c r="C10" s="1" t="str">
        <f t="shared" si="1"/>
        <v>&lt;br&gt;পরিমাণ: &lt;br&gt;মালিকানা: &lt;br&gt;বিস্তারিত: &lt;br&gt;দাগ নং: 405&lt;br&gt;</v>
      </c>
      <c r="D10" s="6" t="str">
        <f t="shared" si="2"/>
        <v xml:space="preserve">    &lt;area target="" alt="405" title="405" href="" coords="1446,338,1466,427,1399,439,1398,422,1411,422,1399,358" onmouseover="writeText(' &lt;br&gt;পরিমাণ: &lt;br&gt;মালিকানা: &lt;br&gt;বিস্তারিত: &lt;br&gt;দাগ নং: 405&lt;br&gt;')" shape="poly"&gt;</v>
      </c>
    </row>
    <row r="11" spans="1:16" x14ac:dyDescent="0.25">
      <c r="A11" t="s">
        <v>30</v>
      </c>
      <c r="B11" s="1" t="str">
        <f t="shared" si="0"/>
        <v>406</v>
      </c>
      <c r="C11" s="1" t="str">
        <f t="shared" si="1"/>
        <v>পোলের দক্ষিনে&lt;br&gt;পরিমাণ: ২১ শতক&lt;br&gt;মালিকানা: &lt;table&gt;&lt;tr&gt;&lt;td&gt;সজীব&lt;/td&gt;&lt;td&gt;সৈকত&lt;/td&gt;&lt;td&gt;সাকিব&lt;/td&gt;&lt;td&gt;স্বপন কাকা&lt;/td&gt;&lt;/tr&gt;&lt;tr&gt;&lt;td&gt;৪&lt;/td&gt;&lt;td&gt;৪&lt;/td&gt;&lt;td&gt;3.5 শতক&lt;/td&gt;&lt;td&gt;7.5 শতক&lt;/td&gt;&lt;/tr&gt;&lt;/table&gt;&lt;br&gt;বিস্তারিত: ২ শতক বাদ দিয়ে ১৯ শতক ধরা হয়েছে। এর পাশে সাকিবের নামে আরও ৫শতক জায়গা আছে।&lt;br&gt;দাগ নং: 406&lt;br&gt;</v>
      </c>
      <c r="D11" s="6" t="str">
        <f t="shared" si="2"/>
        <v xml:space="preserve">    &lt;area target="" alt="406" title="406" href="" coords="1406,479,1473,469,1463,432,1401,440" onmouseover="writeText(' পোলের দক্ষিনে&lt;br&gt;পরিমাণ: ২১ শতক&lt;br&gt;মালিকানা: &lt;table&gt;&lt;tr&gt;&lt;td&gt;সজীব&lt;/td&gt;&lt;td&gt;সৈকত&lt;/td&gt;&lt;td&gt;সাকিব&lt;/td&gt;&lt;td&gt;স্বপন কাকা&lt;/td&gt;&lt;/tr&gt;&lt;tr&gt;&lt;td&gt;৪&lt;/td&gt;&lt;td&gt;৪&lt;/td&gt;&lt;td&gt;3.5 শতক&lt;/td&gt;&lt;td&gt;7.5 শতক&lt;/td&gt;&lt;/tr&gt;&lt;/table&gt;&lt;br&gt;বিস্তারিত: ২ শতক বাদ দিয়ে ১৯ শতক ধরা হয়েছে। এর পাশে সাকিবের নামে আরও ৫শতক জায়গা আছে।&lt;br&gt;দাগ নং: 406&lt;br&gt;')" shape="poly"&gt;</v>
      </c>
      <c r="E11" t="s">
        <v>32</v>
      </c>
      <c r="F11" t="s">
        <v>33</v>
      </c>
      <c r="G11" t="s">
        <v>31</v>
      </c>
      <c r="H11" t="s">
        <v>34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2020-11-11T16:57:00Z</dcterms:modified>
</cp:coreProperties>
</file>